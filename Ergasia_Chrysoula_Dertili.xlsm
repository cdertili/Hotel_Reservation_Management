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Αυτό_το_βιβλίο_εργασίας"/>
  <mc:AlternateContent xmlns:mc="http://schemas.openxmlformats.org/markup-compatibility/2006">
    <mc:Choice Requires="x15">
      <x15ac:absPath xmlns:x15ac="http://schemas.microsoft.com/office/spreadsheetml/2010/11/ac" url="https://auebgr-my.sharepoint.com/personal/derchri98_aueb_gr/Documents/MAP_aueb/2nd_trimester/SQL/Εργασίες/ΕΡΓΑΣΙΑ_SQL/"/>
    </mc:Choice>
  </mc:AlternateContent>
  <xr:revisionPtr revIDLastSave="72" documentId="13_ncr:1_{CC5396E6-FFA5-44C3-BE97-4C3505FC6376}" xr6:coauthVersionLast="47" xr6:coauthVersionMax="47" xr10:uidLastSave="{2DD632A8-CD0E-4077-9473-30E69EBFFA0A}"/>
  <bookViews>
    <workbookView xWindow="-108" yWindow="-108" windowWidth="23256" windowHeight="12456" xr2:uid="{8C6713B4-DC78-4BFD-A0C1-B7ECACE01018}"/>
  </bookViews>
  <sheets>
    <sheet name="customerbilldetails" sheetId="3" r:id="rId1"/>
    <sheet name="Τιμολόγιο" sheetId="1" r:id="rId2"/>
  </sheets>
  <definedNames>
    <definedName name="ExternalData_1" localSheetId="0" hidden="1">'customerbilldetails'!$B$1:$Q$11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1" l="1"/>
  <c r="H25" i="1"/>
  <c r="F25" i="1"/>
  <c r="H9" i="1"/>
  <c r="D3" i="1"/>
  <c r="H2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A545DE-07A4-421D-A061-AAA192FCE1C4}" keepAlive="1" interval="1" name="Ερώτημα - customerbilldetails" description="Σύνδεση με το ερώτημα 'customerbilldetails' στο βιβλίο εργασίας." type="5" refreshedVersion="8" background="1" saveData="1">
    <dbPr connection="Provider=Microsoft.Mashup.OleDb.1;Data Source=$Workbook$;Location=customerbilldetails;Extended Properties=&quot;&quot;" command="SELECT * FROM [customerbilldetails]"/>
  </connection>
</connections>
</file>

<file path=xl/sharedStrings.xml><?xml version="1.0" encoding="utf-8"?>
<sst xmlns="http://schemas.openxmlformats.org/spreadsheetml/2006/main" count="112" uniqueCount="96">
  <si>
    <t>ΤΙΜΟΛΟΓΙΟ</t>
  </si>
  <si>
    <t>email:</t>
  </si>
  <si>
    <t>Όνομα:</t>
  </si>
  <si>
    <t>Οδός:</t>
  </si>
  <si>
    <t>Πόλη:</t>
  </si>
  <si>
    <t>ΑΔ Ταυτότητας:</t>
  </si>
  <si>
    <t>Επίθετο:</t>
  </si>
  <si>
    <t>Αριθμός:</t>
  </si>
  <si>
    <t>Χώρα:</t>
  </si>
  <si>
    <t>Αριθμός δωματίων</t>
  </si>
  <si>
    <t>Ημερομηνία:</t>
  </si>
  <si>
    <t>Τιμή ανά διανυκτέρευση</t>
  </si>
  <si>
    <t>Ημέρες</t>
  </si>
  <si>
    <t>Τελικό κόστος διανυκτέρευσης</t>
  </si>
  <si>
    <t>Νο</t>
  </si>
  <si>
    <t>Σύνολο</t>
  </si>
  <si>
    <t>Αμάντα</t>
  </si>
  <si>
    <t>Ανδρέας</t>
  </si>
  <si>
    <t>Αργύρης</t>
  </si>
  <si>
    <t>Βασίλης</t>
  </si>
  <si>
    <t>Δέσποινα</t>
  </si>
  <si>
    <t>Δημήτρης</t>
  </si>
  <si>
    <t>Ηλίας</t>
  </si>
  <si>
    <t>Μαρία</t>
  </si>
  <si>
    <t>Παύλος</t>
  </si>
  <si>
    <t>Χριστίνα</t>
  </si>
  <si>
    <t>firstname</t>
  </si>
  <si>
    <t>lastname</t>
  </si>
  <si>
    <t>AK456201</t>
  </si>
  <si>
    <t>ΑΚ120302</t>
  </si>
  <si>
    <t>ΑΚ403256</t>
  </si>
  <si>
    <t>ΑΚ547931</t>
  </si>
  <si>
    <t>ΑΛ103256</t>
  </si>
  <si>
    <t>ΑΛ560321</t>
  </si>
  <si>
    <t>ΑΛ568032</t>
  </si>
  <si>
    <t>ΑΛ758946</t>
  </si>
  <si>
    <t>ΑΜ106160</t>
  </si>
  <si>
    <t>ΑΜ457896</t>
  </si>
  <si>
    <t>Θεοτοκάτου</t>
  </si>
  <si>
    <t>Βίσκας</t>
  </si>
  <si>
    <t>Βλάσσης</t>
  </si>
  <si>
    <t>Περρής</t>
  </si>
  <si>
    <t>Αθανασίου</t>
  </si>
  <si>
    <t>Αλεξίου</t>
  </si>
  <si>
    <t>Αγγελίνας</t>
  </si>
  <si>
    <t>Παπαδοπούλου</t>
  </si>
  <si>
    <t>Αρβανιτάκης</t>
  </si>
  <si>
    <t>Νικοπολίτη</t>
  </si>
  <si>
    <t>Θεσσαλίας</t>
  </si>
  <si>
    <t>Κύπρου</t>
  </si>
  <si>
    <t>Ναϊάδων</t>
  </si>
  <si>
    <t>Θράκης</t>
  </si>
  <si>
    <t>Βαλτετσίου</t>
  </si>
  <si>
    <t>Υψηλάντου</t>
  </si>
  <si>
    <t>Κώστα Βάρναλη</t>
  </si>
  <si>
    <t>Αγίου Δημητρίου</t>
  </si>
  <si>
    <t>Βορείου Ηπείρου</t>
  </si>
  <si>
    <t>Μάρκου Μπότσαρη</t>
  </si>
  <si>
    <t>customerid</t>
  </si>
  <si>
    <t>id</t>
  </si>
  <si>
    <t>street</t>
  </si>
  <si>
    <t>snumber</t>
  </si>
  <si>
    <t>city</t>
  </si>
  <si>
    <t>country</t>
  </si>
  <si>
    <t>email</t>
  </si>
  <si>
    <t>roomid</t>
  </si>
  <si>
    <t>room_price_per_night</t>
  </si>
  <si>
    <t>nights_stayed</t>
  </si>
  <si>
    <t>total_room_cost</t>
  </si>
  <si>
    <t>total_purchases</t>
  </si>
  <si>
    <t>total_additional_expenses</t>
  </si>
  <si>
    <t>total_cost</t>
  </si>
  <si>
    <t>Πετρούπολη</t>
  </si>
  <si>
    <t>Ελλάδα</t>
  </si>
  <si>
    <t>mariap@gmail.com</t>
  </si>
  <si>
    <t>Αργυρούπολη</t>
  </si>
  <si>
    <t>dimitrisa@gmail.com</t>
  </si>
  <si>
    <t>Ίλιον</t>
  </si>
  <si>
    <t>amantath@gmail.com</t>
  </si>
  <si>
    <t>Περιστέρι</t>
  </si>
  <si>
    <t>vasilisp@gmail.com</t>
  </si>
  <si>
    <t>Πλάκα</t>
  </si>
  <si>
    <t>despoinath@gmail.com</t>
  </si>
  <si>
    <t>Δάφνη</t>
  </si>
  <si>
    <t>christinan@gmail.com</t>
  </si>
  <si>
    <t>Χαλκίδα</t>
  </si>
  <si>
    <t>andreasv@gmail.com</t>
  </si>
  <si>
    <t>Πάτρα</t>
  </si>
  <si>
    <t>iliasa@gmail.com</t>
  </si>
  <si>
    <t>Καλαμάτα</t>
  </si>
  <si>
    <t>argyrisvl@gmail.com</t>
  </si>
  <si>
    <t>Λαμία</t>
  </si>
  <si>
    <t>pavlosa@gmail.com</t>
  </si>
  <si>
    <t xml:space="preserve">Αγορές </t>
  </si>
  <si>
    <t>Επιπρόσθετες αγορές</t>
  </si>
  <si>
    <t>Γενικό Σύνολο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</si>
</sst>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  <charset val="161"/>
    </font>
    <font>
      <sz val="11"/>
      <name val="Aptos Narrow"/>
      <family val="2"/>
      <scheme val="minor"/>
    </font>
    <font>
      <b/>
      <sz val="10"/>
      <color theme="0"/>
      <name val="Arial"/>
      <family val="2"/>
      <charset val="161"/>
    </font>
    <font>
      <b/>
      <sz val="10"/>
      <color theme="1"/>
      <name val="Arial"/>
      <family val="2"/>
      <charset val="161"/>
    </font>
    <font>
      <sz val="10"/>
      <color theme="0"/>
      <name val="Arial"/>
      <family val="2"/>
      <charset val="161"/>
    </font>
  </fonts>
  <fills count="7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auto="1"/>
      </left>
      <right/>
      <top style="thin">
        <color auto="1"/>
      </top>
      <bottom style="dashed">
        <color auto="1"/>
      </bottom>
      <diagonal/>
    </border>
    <border>
      <left/>
      <right/>
      <top style="thin">
        <color auto="1"/>
      </top>
      <bottom style="dashed">
        <color auto="1"/>
      </bottom>
      <diagonal/>
    </border>
    <border>
      <left/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thin">
        <color auto="1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/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/>
      <top style="dash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Continuous"/>
    </xf>
    <xf numFmtId="0" fontId="1" fillId="0" borderId="0" xfId="0" applyFont="1" applyAlignment="1">
      <alignment horizontal="center" vertical="center" wrapText="1"/>
    </xf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1" xfId="0" applyFont="1" applyBorder="1"/>
    <xf numFmtId="0" fontId="1" fillId="0" borderId="6" xfId="0" applyFont="1" applyBorder="1"/>
    <xf numFmtId="0" fontId="3" fillId="4" borderId="0" xfId="0" applyFont="1" applyFill="1" applyAlignment="1">
      <alignment horizontal="centerContinuous"/>
    </xf>
    <xf numFmtId="0" fontId="4" fillId="3" borderId="2" xfId="0" applyFont="1" applyFill="1" applyBorder="1" applyAlignment="1">
      <alignment horizontal="center" vertical="center" wrapText="1"/>
    </xf>
    <xf numFmtId="14" fontId="1" fillId="0" borderId="20" xfId="0" applyNumberFormat="1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4" fillId="0" borderId="8" xfId="0" applyFont="1" applyBorder="1" applyAlignment="1">
      <alignment horizontal="right"/>
    </xf>
    <xf numFmtId="0" fontId="4" fillId="0" borderId="11" xfId="0" applyFont="1" applyBorder="1" applyAlignment="1">
      <alignment horizontal="right"/>
    </xf>
    <xf numFmtId="0" fontId="4" fillId="0" borderId="14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0" borderId="13" xfId="0" applyFont="1" applyBorder="1" applyAlignment="1">
      <alignment horizontal="right"/>
    </xf>
    <xf numFmtId="0" fontId="4" fillId="0" borderId="19" xfId="0" applyFont="1" applyBorder="1" applyAlignment="1">
      <alignment horizontal="right"/>
    </xf>
    <xf numFmtId="0" fontId="4" fillId="0" borderId="19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5" borderId="21" xfId="0" applyFont="1" applyFill="1" applyBorder="1"/>
    <xf numFmtId="0" fontId="4" fillId="5" borderId="22" xfId="0" applyFont="1" applyFill="1" applyBorder="1"/>
    <xf numFmtId="0" fontId="4" fillId="0" borderId="20" xfId="0" applyFont="1" applyBorder="1" applyAlignment="1">
      <alignment horizontal="left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1" fillId="0" borderId="25" xfId="0" applyFont="1" applyBorder="1"/>
    <xf numFmtId="0" fontId="4" fillId="6" borderId="0" xfId="0" applyFont="1" applyFill="1"/>
    <xf numFmtId="0" fontId="4" fillId="6" borderId="0" xfId="0" applyFont="1" applyFill="1" applyAlignment="1">
      <alignment horizontal="center"/>
    </xf>
    <xf numFmtId="0" fontId="5" fillId="0" borderId="0" xfId="0" applyFont="1"/>
    <xf numFmtId="0" fontId="0" fillId="0" borderId="0" xfId="0" applyAlignment="1">
      <alignment horizontal="center" wrapText="1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1">
    <cellStyle name="Κανονικό" xfId="0" builtinId="0"/>
  </cellStyles>
  <dxfs count="18"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350520</xdr:colOff>
      <xdr:row>1</xdr:row>
      <xdr:rowOff>99060</xdr:rowOff>
    </xdr:from>
    <xdr:to>
      <xdr:col>11</xdr:col>
      <xdr:colOff>434340</xdr:colOff>
      <xdr:row>6</xdr:row>
      <xdr:rowOff>121920</xdr:rowOff>
    </xdr:to>
    <xdr:sp macro="[0]!TransferData" textlink="">
      <xdr:nvSpPr>
        <xdr:cNvPr id="3" name="Ορθογώνιο: Στρογγύλεμα γωνιών 2">
          <a:extLst>
            <a:ext uri="{FF2B5EF4-FFF2-40B4-BE49-F238E27FC236}">
              <a16:creationId xmlns:a16="http://schemas.microsoft.com/office/drawing/2014/main" id="{45FE0DAC-D377-C746-EB9F-139324D3F53D}"/>
            </a:ext>
          </a:extLst>
        </xdr:cNvPr>
        <xdr:cNvSpPr/>
      </xdr:nvSpPr>
      <xdr:spPr>
        <a:xfrm>
          <a:off x="8039100" y="266700"/>
          <a:ext cx="1981200" cy="9067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l-GR" sz="1100"/>
            <a:t>Πατήστε</a:t>
          </a:r>
          <a:r>
            <a:rPr lang="el-GR" sz="1100" baseline="0"/>
            <a:t> για συμπλήρωση του πίνακα, αφού πρώτα επιλέξετε το όνομα και το επώνυμο του πελάτη.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C11AC48-C4DE-4089-B444-9A952666CCDE}" autoFormatId="16" applyNumberFormats="0" applyBorderFormats="0" applyFontFormats="0" applyPatternFormats="0" applyAlignmentFormats="0" applyWidthHeightFormats="0">
  <queryTableRefresh nextId="17">
    <queryTableFields count="16">
      <queryTableField id="1" name="customerid" tableColumnId="1"/>
      <queryTableField id="2" name="firstname" tableColumnId="2"/>
      <queryTableField id="3" name="lastname" tableColumnId="3"/>
      <queryTableField id="4" name="id" tableColumnId="4"/>
      <queryTableField id="5" name="street" tableColumnId="5"/>
      <queryTableField id="6" name="snumber" tableColumnId="6"/>
      <queryTableField id="7" name="city" tableColumnId="7"/>
      <queryTableField id="8" name="country" tableColumnId="8"/>
      <queryTableField id="9" name="email" tableColumnId="9"/>
      <queryTableField id="10" name="roomid" tableColumnId="10"/>
      <queryTableField id="11" name="room_price_per_night" tableColumnId="11"/>
      <queryTableField id="12" name="nights_stayed" tableColumnId="12"/>
      <queryTableField id="13" name="total_room_cost" tableColumnId="13"/>
      <queryTableField id="14" name="total_purchases" tableColumnId="14"/>
      <queryTableField id="15" name="total_additional_expenses" tableColumnId="15"/>
      <queryTableField id="16" name="total_cost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B8F004-B6F8-4538-AEE6-02B3208776FB}" name="customerbilldetails" displayName="customerbilldetails" ref="B1:Q11" tableType="queryTable" totalsRowShown="0" headerRowDxfId="17" dataDxfId="16">
  <autoFilter ref="B1:Q11" xr:uid="{70B8F004-B6F8-4538-AEE6-02B3208776FB}"/>
  <tableColumns count="16">
    <tableColumn id="1" xr3:uid="{5E479699-7928-4934-B619-736C0544BA39}" uniqueName="1" name="customerid" queryTableFieldId="1" dataDxfId="15"/>
    <tableColumn id="2" xr3:uid="{E8782208-BE45-4A3B-AB41-D760779966E8}" uniqueName="2" name="firstname" queryTableFieldId="2" dataDxfId="14"/>
    <tableColumn id="3" xr3:uid="{BD048271-22F3-42BD-8310-291DEF6C99C3}" uniqueName="3" name="lastname" queryTableFieldId="3" dataDxfId="13"/>
    <tableColumn id="4" xr3:uid="{AE25D8D5-3D32-479B-B7DA-966830C07876}" uniqueName="4" name="id" queryTableFieldId="4" dataDxfId="12"/>
    <tableColumn id="5" xr3:uid="{55417897-9230-4E1D-8B97-78BE5BEAC033}" uniqueName="5" name="street" queryTableFieldId="5" dataDxfId="11"/>
    <tableColumn id="6" xr3:uid="{739AB1EC-BA6F-44BD-B570-CFA76ECC8A1B}" uniqueName="6" name="snumber" queryTableFieldId="6" dataDxfId="10"/>
    <tableColumn id="7" xr3:uid="{1973D5F0-3403-4B85-9142-78E3CD140448}" uniqueName="7" name="city" queryTableFieldId="7" dataDxfId="9"/>
    <tableColumn id="8" xr3:uid="{9F0AC691-BB77-4E7D-8047-4D542B16B2F4}" uniqueName="8" name="country" queryTableFieldId="8" dataDxfId="8"/>
    <tableColumn id="9" xr3:uid="{76BEC609-6C4A-4148-8B98-A40E671AAD77}" uniqueName="9" name="email" queryTableFieldId="9" dataDxfId="7"/>
    <tableColumn id="10" xr3:uid="{968942A0-463C-4129-B0F0-360DBD458D4A}" uniqueName="10" name="roomid" queryTableFieldId="10" dataDxfId="6"/>
    <tableColumn id="11" xr3:uid="{4F2802B5-DF3D-486F-8199-4148F5DE03CC}" uniqueName="11" name="room_price_per_night" queryTableFieldId="11" dataDxfId="5"/>
    <tableColumn id="12" xr3:uid="{866CB063-9FB5-4E31-A6A2-12271BF243B5}" uniqueName="12" name="nights_stayed" queryTableFieldId="12" dataDxfId="4"/>
    <tableColumn id="13" xr3:uid="{592E3BD3-DAC0-483C-B134-05F483840179}" uniqueName="13" name="total_room_cost" queryTableFieldId="13" dataDxfId="3"/>
    <tableColumn id="14" xr3:uid="{344AA71D-16DF-49BA-87E6-A6BA600A1BB0}" uniqueName="14" name="total_purchases" queryTableFieldId="14" dataDxfId="2"/>
    <tableColumn id="15" xr3:uid="{9A4434FE-95B2-43A0-B072-8A92925070FD}" uniqueName="15" name="total_additional_expenses" queryTableFieldId="15" dataDxfId="1"/>
    <tableColumn id="16" xr3:uid="{E28A3A6A-18A0-493D-B8D0-4E70FF7F39E3}" uniqueName="16" name="total_cost" queryTableFieldId="16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02046-BAC6-419A-9F02-3161C3D29F0D}">
  <sheetPr codeName="Φύλλο1"/>
  <dimension ref="A1:Q11"/>
  <sheetViews>
    <sheetView showGridLines="0" tabSelected="1" zoomScale="66" workbookViewId="0">
      <selection activeCell="B17" sqref="B17"/>
    </sheetView>
  </sheetViews>
  <sheetFormatPr defaultRowHeight="14.4" x14ac:dyDescent="0.3"/>
  <cols>
    <col min="1" max="1" width="1.5546875" style="3" customWidth="1"/>
    <col min="2" max="2" width="17.44140625" style="3" bestFit="1" customWidth="1"/>
    <col min="3" max="3" width="16.109375" style="3" bestFit="1" customWidth="1"/>
    <col min="4" max="4" width="15.77734375" style="3" bestFit="1" customWidth="1"/>
    <col min="5" max="5" width="9.6640625" style="3" bestFit="1" customWidth="1"/>
    <col min="6" max="6" width="16.44140625" style="3" bestFit="1" customWidth="1"/>
    <col min="7" max="7" width="15.21875" style="3" bestFit="1" customWidth="1"/>
    <col min="8" max="8" width="11.88671875" style="3" bestFit="1" customWidth="1"/>
    <col min="9" max="9" width="14.109375" style="3" bestFit="1" customWidth="1"/>
    <col min="10" max="10" width="20.6640625" style="3" bestFit="1" customWidth="1"/>
    <col min="11" max="11" width="13.77734375" style="3" bestFit="1" customWidth="1"/>
    <col min="12" max="12" width="26.21875" style="3" bestFit="1" customWidth="1"/>
    <col min="13" max="13" width="19.44140625" style="3" bestFit="1" customWidth="1"/>
    <col min="14" max="14" width="21.6640625" style="3" bestFit="1" customWidth="1"/>
    <col min="15" max="15" width="21.44140625" style="3" bestFit="1" customWidth="1"/>
    <col min="16" max="16" width="30.109375" style="3" bestFit="1" customWidth="1"/>
    <col min="17" max="17" width="16.21875" style="3" bestFit="1" customWidth="1"/>
    <col min="18" max="16384" width="8.88671875" style="3"/>
  </cols>
  <sheetData>
    <row r="1" spans="1:17" x14ac:dyDescent="0.3">
      <c r="A1" s="44"/>
      <c r="B1" s="3" t="s">
        <v>58</v>
      </c>
      <c r="C1" s="3" t="s">
        <v>26</v>
      </c>
      <c r="D1" s="3" t="s">
        <v>27</v>
      </c>
      <c r="E1" s="3" t="s">
        <v>59</v>
      </c>
      <c r="F1" s="3" t="s">
        <v>60</v>
      </c>
      <c r="G1" s="3" t="s">
        <v>61</v>
      </c>
      <c r="H1" s="3" t="s">
        <v>62</v>
      </c>
      <c r="I1" s="3" t="s">
        <v>63</v>
      </c>
      <c r="J1" s="3" t="s">
        <v>64</v>
      </c>
      <c r="K1" s="3" t="s">
        <v>65</v>
      </c>
      <c r="L1" s="3" t="s">
        <v>66</v>
      </c>
      <c r="M1" s="3" t="s">
        <v>67</v>
      </c>
      <c r="N1" s="3" t="s">
        <v>68</v>
      </c>
      <c r="O1" s="3" t="s">
        <v>69</v>
      </c>
      <c r="P1" s="3" t="s">
        <v>70</v>
      </c>
      <c r="Q1" s="3" t="s">
        <v>71</v>
      </c>
    </row>
    <row r="2" spans="1:17" x14ac:dyDescent="0.3">
      <c r="B2" s="4">
        <v>1</v>
      </c>
      <c r="C2" s="4" t="s">
        <v>23</v>
      </c>
      <c r="D2" s="4" t="s">
        <v>45</v>
      </c>
      <c r="E2" s="4" t="s">
        <v>28</v>
      </c>
      <c r="F2" s="4" t="s">
        <v>48</v>
      </c>
      <c r="G2" s="4">
        <v>45</v>
      </c>
      <c r="H2" s="4" t="s">
        <v>72</v>
      </c>
      <c r="I2" s="4" t="s">
        <v>73</v>
      </c>
      <c r="J2" s="4" t="s">
        <v>74</v>
      </c>
      <c r="K2" s="4">
        <v>103</v>
      </c>
      <c r="L2" s="4">
        <v>90</v>
      </c>
      <c r="M2" s="4">
        <v>10</v>
      </c>
      <c r="N2" s="4">
        <v>900</v>
      </c>
      <c r="O2" s="4">
        <v>20</v>
      </c>
      <c r="P2" s="4">
        <v>15</v>
      </c>
      <c r="Q2" s="4">
        <v>935</v>
      </c>
    </row>
    <row r="3" spans="1:17" x14ac:dyDescent="0.3">
      <c r="B3" s="4">
        <v>2</v>
      </c>
      <c r="C3" s="4" t="s">
        <v>21</v>
      </c>
      <c r="D3" s="4" t="s">
        <v>43</v>
      </c>
      <c r="E3" s="4" t="s">
        <v>35</v>
      </c>
      <c r="F3" s="4" t="s">
        <v>55</v>
      </c>
      <c r="G3" s="4">
        <v>52</v>
      </c>
      <c r="H3" s="4" t="s">
        <v>75</v>
      </c>
      <c r="I3" s="4" t="s">
        <v>73</v>
      </c>
      <c r="J3" s="4" t="s">
        <v>76</v>
      </c>
      <c r="K3" s="4">
        <v>304</v>
      </c>
      <c r="L3" s="4">
        <v>110</v>
      </c>
      <c r="M3" s="4">
        <v>4</v>
      </c>
      <c r="N3" s="4">
        <v>440</v>
      </c>
      <c r="O3" s="4">
        <v>20</v>
      </c>
      <c r="P3" s="4">
        <v>20</v>
      </c>
      <c r="Q3" s="4">
        <v>480</v>
      </c>
    </row>
    <row r="4" spans="1:17" x14ac:dyDescent="0.3">
      <c r="B4" s="4">
        <v>3</v>
      </c>
      <c r="C4" s="4" t="s">
        <v>16</v>
      </c>
      <c r="D4" s="4" t="s">
        <v>38</v>
      </c>
      <c r="E4" s="4" t="s">
        <v>37</v>
      </c>
      <c r="F4" s="4" t="s">
        <v>57</v>
      </c>
      <c r="G4" s="4">
        <v>89</v>
      </c>
      <c r="H4" s="4" t="s">
        <v>77</v>
      </c>
      <c r="I4" s="4" t="s">
        <v>73</v>
      </c>
      <c r="J4" s="4" t="s">
        <v>78</v>
      </c>
      <c r="K4" s="4">
        <v>203</v>
      </c>
      <c r="L4" s="4">
        <v>95</v>
      </c>
      <c r="M4" s="4">
        <v>6</v>
      </c>
      <c r="N4" s="4">
        <v>570</v>
      </c>
      <c r="O4" s="4">
        <v>15</v>
      </c>
      <c r="P4" s="4">
        <v>30</v>
      </c>
      <c r="Q4" s="4">
        <v>615</v>
      </c>
    </row>
    <row r="5" spans="1:17" x14ac:dyDescent="0.3">
      <c r="B5" s="4">
        <v>4</v>
      </c>
      <c r="C5" s="4" t="s">
        <v>19</v>
      </c>
      <c r="D5" s="4" t="s">
        <v>41</v>
      </c>
      <c r="E5" s="4" t="s">
        <v>31</v>
      </c>
      <c r="F5" s="4" t="s">
        <v>51</v>
      </c>
      <c r="G5" s="4">
        <v>23</v>
      </c>
      <c r="H5" s="4" t="s">
        <v>79</v>
      </c>
      <c r="I5" s="4" t="s">
        <v>73</v>
      </c>
      <c r="J5" s="4" t="s">
        <v>80</v>
      </c>
      <c r="K5" s="4">
        <v>203</v>
      </c>
      <c r="L5" s="4">
        <v>95</v>
      </c>
      <c r="M5" s="4">
        <v>11</v>
      </c>
      <c r="N5" s="4">
        <v>1045</v>
      </c>
      <c r="O5" s="4">
        <v>5</v>
      </c>
      <c r="P5" s="4">
        <v>5</v>
      </c>
      <c r="Q5" s="4">
        <v>1055</v>
      </c>
    </row>
    <row r="6" spans="1:17" x14ac:dyDescent="0.3">
      <c r="B6" s="4">
        <v>5</v>
      </c>
      <c r="C6" s="4" t="s">
        <v>20</v>
      </c>
      <c r="D6" s="4" t="s">
        <v>42</v>
      </c>
      <c r="E6" s="4" t="s">
        <v>32</v>
      </c>
      <c r="F6" s="4" t="s">
        <v>52</v>
      </c>
      <c r="G6" s="4">
        <v>105</v>
      </c>
      <c r="H6" s="4" t="s">
        <v>81</v>
      </c>
      <c r="I6" s="4" t="s">
        <v>73</v>
      </c>
      <c r="J6" s="4" t="s">
        <v>82</v>
      </c>
      <c r="K6" s="4">
        <v>304</v>
      </c>
      <c r="L6" s="4">
        <v>110</v>
      </c>
      <c r="M6" s="4">
        <v>6</v>
      </c>
      <c r="N6" s="4">
        <v>660</v>
      </c>
      <c r="O6" s="4">
        <v>6.5</v>
      </c>
      <c r="P6" s="4">
        <v>9.5</v>
      </c>
      <c r="Q6" s="4">
        <v>676</v>
      </c>
    </row>
    <row r="7" spans="1:17" x14ac:dyDescent="0.3">
      <c r="B7" s="4">
        <v>6</v>
      </c>
      <c r="C7" s="4" t="s">
        <v>25</v>
      </c>
      <c r="D7" s="4" t="s">
        <v>47</v>
      </c>
      <c r="E7" s="4" t="s">
        <v>36</v>
      </c>
      <c r="F7" s="4" t="s">
        <v>56</v>
      </c>
      <c r="G7" s="4">
        <v>228</v>
      </c>
      <c r="H7" s="4" t="s">
        <v>83</v>
      </c>
      <c r="I7" s="4" t="s">
        <v>73</v>
      </c>
      <c r="J7" s="4" t="s">
        <v>84</v>
      </c>
      <c r="K7" s="4">
        <v>102</v>
      </c>
      <c r="L7" s="4">
        <v>85</v>
      </c>
      <c r="M7" s="4">
        <v>4</v>
      </c>
      <c r="N7" s="4">
        <v>340</v>
      </c>
      <c r="O7" s="4">
        <v>0</v>
      </c>
      <c r="P7" s="4">
        <v>0</v>
      </c>
      <c r="Q7" s="4">
        <v>340</v>
      </c>
    </row>
    <row r="8" spans="1:17" x14ac:dyDescent="0.3">
      <c r="B8" s="4">
        <v>7</v>
      </c>
      <c r="C8" s="4" t="s">
        <v>17</v>
      </c>
      <c r="D8" s="4" t="s">
        <v>39</v>
      </c>
      <c r="E8" s="4" t="s">
        <v>30</v>
      </c>
      <c r="F8" s="4" t="s">
        <v>50</v>
      </c>
      <c r="G8" s="4">
        <v>15</v>
      </c>
      <c r="H8" s="4" t="s">
        <v>85</v>
      </c>
      <c r="I8" s="4" t="s">
        <v>73</v>
      </c>
      <c r="J8" s="4" t="s">
        <v>86</v>
      </c>
      <c r="K8" s="4">
        <v>301</v>
      </c>
      <c r="L8" s="4">
        <v>100</v>
      </c>
      <c r="M8" s="4">
        <v>5</v>
      </c>
      <c r="N8" s="4">
        <v>500</v>
      </c>
      <c r="O8" s="4">
        <v>0</v>
      </c>
      <c r="P8" s="4">
        <v>0</v>
      </c>
      <c r="Q8" s="4">
        <v>500</v>
      </c>
    </row>
    <row r="9" spans="1:17" x14ac:dyDescent="0.3">
      <c r="B9" s="4">
        <v>8</v>
      </c>
      <c r="C9" s="4" t="s">
        <v>22</v>
      </c>
      <c r="D9" s="4" t="s">
        <v>44</v>
      </c>
      <c r="E9" s="4" t="s">
        <v>34</v>
      </c>
      <c r="F9" s="4" t="s">
        <v>54</v>
      </c>
      <c r="G9" s="4">
        <v>105</v>
      </c>
      <c r="H9" s="4" t="s">
        <v>87</v>
      </c>
      <c r="I9" s="4" t="s">
        <v>73</v>
      </c>
      <c r="J9" s="4" t="s">
        <v>88</v>
      </c>
      <c r="K9" s="4">
        <v>203</v>
      </c>
      <c r="L9" s="4">
        <v>95</v>
      </c>
      <c r="M9" s="4">
        <v>5</v>
      </c>
      <c r="N9" s="4">
        <v>475</v>
      </c>
      <c r="O9" s="4">
        <v>85</v>
      </c>
      <c r="P9" s="4">
        <v>90</v>
      </c>
      <c r="Q9" s="4">
        <v>650</v>
      </c>
    </row>
    <row r="10" spans="1:17" x14ac:dyDescent="0.3">
      <c r="B10" s="4">
        <v>9</v>
      </c>
      <c r="C10" s="4" t="s">
        <v>18</v>
      </c>
      <c r="D10" s="4" t="s">
        <v>40</v>
      </c>
      <c r="E10" s="4" t="s">
        <v>33</v>
      </c>
      <c r="F10" s="4" t="s">
        <v>53</v>
      </c>
      <c r="G10" s="4">
        <v>18</v>
      </c>
      <c r="H10" s="4" t="s">
        <v>89</v>
      </c>
      <c r="I10" s="4" t="s">
        <v>73</v>
      </c>
      <c r="J10" s="4" t="s">
        <v>90</v>
      </c>
      <c r="K10" s="4">
        <v>101</v>
      </c>
      <c r="L10" s="4">
        <v>85</v>
      </c>
      <c r="M10" s="4">
        <v>7</v>
      </c>
      <c r="N10" s="4">
        <v>595</v>
      </c>
      <c r="O10" s="4">
        <v>3</v>
      </c>
      <c r="P10" s="4">
        <v>3</v>
      </c>
      <c r="Q10" s="4">
        <v>601</v>
      </c>
    </row>
    <row r="11" spans="1:17" x14ac:dyDescent="0.3">
      <c r="B11" s="4">
        <v>10</v>
      </c>
      <c r="C11" s="4" t="s">
        <v>24</v>
      </c>
      <c r="D11" s="4" t="s">
        <v>46</v>
      </c>
      <c r="E11" s="4" t="s">
        <v>29</v>
      </c>
      <c r="F11" s="4" t="s">
        <v>49</v>
      </c>
      <c r="G11" s="4">
        <v>49</v>
      </c>
      <c r="H11" s="4" t="s">
        <v>91</v>
      </c>
      <c r="I11" s="4" t="s">
        <v>73</v>
      </c>
      <c r="J11" s="4" t="s">
        <v>92</v>
      </c>
      <c r="K11" s="4">
        <v>201</v>
      </c>
      <c r="L11" s="4">
        <v>90</v>
      </c>
      <c r="M11" s="4">
        <v>6</v>
      </c>
      <c r="N11" s="4">
        <v>540</v>
      </c>
      <c r="O11" s="4">
        <v>80</v>
      </c>
      <c r="P11" s="4">
        <v>80</v>
      </c>
      <c r="Q11" s="4">
        <v>700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6F390-561C-4782-9DC6-A2E4B926E398}">
  <sheetPr codeName="Φύλλο2"/>
  <dimension ref="B1:Q28"/>
  <sheetViews>
    <sheetView showGridLines="0" zoomScale="89" zoomScaleNormal="100" workbookViewId="0">
      <selection activeCell="Q9" sqref="Q9"/>
    </sheetView>
  </sheetViews>
  <sheetFormatPr defaultRowHeight="13.2" x14ac:dyDescent="0.25"/>
  <cols>
    <col min="1" max="2" width="8.88671875" style="1"/>
    <col min="3" max="3" width="15.21875" style="1" bestFit="1" customWidth="1"/>
    <col min="4" max="4" width="14.33203125" style="1" bestFit="1" customWidth="1"/>
    <col min="5" max="5" width="8.77734375" style="1" bestFit="1" customWidth="1"/>
    <col min="6" max="6" width="19.21875" style="1" bestFit="1" customWidth="1"/>
    <col min="7" max="7" width="10" style="1" bestFit="1" customWidth="1"/>
    <col min="8" max="8" width="15.33203125" style="1" customWidth="1"/>
    <col min="9" max="10" width="13.88671875" style="1" customWidth="1"/>
    <col min="11" max="11" width="13.77734375" style="1" customWidth="1"/>
    <col min="12" max="16384" width="8.88671875" style="1"/>
  </cols>
  <sheetData>
    <row r="1" spans="2:17" x14ac:dyDescent="0.25">
      <c r="B1" s="10"/>
      <c r="C1" s="10"/>
      <c r="D1" s="10"/>
      <c r="E1" s="10"/>
      <c r="F1" s="10"/>
      <c r="G1" s="10"/>
      <c r="H1" s="10"/>
      <c r="I1" s="10"/>
    </row>
    <row r="2" spans="2:17" s="3" customFormat="1" ht="15" thickBot="1" x14ac:dyDescent="0.35">
      <c r="B2" s="45"/>
      <c r="C2" s="4"/>
      <c r="D2" s="4"/>
      <c r="E2" s="4"/>
      <c r="F2" s="4"/>
      <c r="G2" s="4"/>
      <c r="H2" s="4"/>
      <c r="I2" s="46"/>
      <c r="J2" s="4"/>
      <c r="K2" s="4"/>
      <c r="L2" s="4"/>
      <c r="M2" s="4"/>
      <c r="N2" s="4"/>
      <c r="O2" s="4"/>
      <c r="P2" s="4"/>
      <c r="Q2" s="4"/>
    </row>
    <row r="3" spans="2:17" ht="14.4" thickTop="1" thickBot="1" x14ac:dyDescent="0.3">
      <c r="B3" s="7"/>
      <c r="C3" s="27" t="s">
        <v>10</v>
      </c>
      <c r="D3" s="14">
        <f ca="1">TODAY()</f>
        <v>45394</v>
      </c>
      <c r="F3" s="28" t="s">
        <v>14</v>
      </c>
      <c r="G3" s="37">
        <v>1</v>
      </c>
      <c r="I3" s="8"/>
    </row>
    <row r="4" spans="2:17" ht="13.8" thickTop="1" x14ac:dyDescent="0.25">
      <c r="B4" s="7"/>
      <c r="I4" s="8"/>
    </row>
    <row r="5" spans="2:17" x14ac:dyDescent="0.25">
      <c r="B5" s="7"/>
      <c r="C5" s="5"/>
      <c r="D5" s="5"/>
      <c r="I5" s="8"/>
    </row>
    <row r="6" spans="2:17" x14ac:dyDescent="0.25">
      <c r="B6" s="7"/>
      <c r="C6" s="5" t="s">
        <v>0</v>
      </c>
      <c r="D6" s="5"/>
      <c r="I6" s="8"/>
    </row>
    <row r="7" spans="2:17" x14ac:dyDescent="0.25">
      <c r="B7" s="7"/>
      <c r="C7" s="5"/>
      <c r="D7" s="5"/>
      <c r="I7" s="8"/>
    </row>
    <row r="8" spans="2:17" x14ac:dyDescent="0.25">
      <c r="B8" s="7"/>
      <c r="C8" s="12"/>
      <c r="D8" s="12"/>
      <c r="I8" s="8"/>
    </row>
    <row r="9" spans="2:17" x14ac:dyDescent="0.25">
      <c r="B9" s="7"/>
      <c r="C9" s="24" t="s">
        <v>2</v>
      </c>
      <c r="D9" s="15" t="s">
        <v>23</v>
      </c>
      <c r="E9" s="21" t="s">
        <v>6</v>
      </c>
      <c r="F9" s="18" t="s">
        <v>45</v>
      </c>
      <c r="H9" s="43" t="str">
        <f>$D$9&amp;" "&amp;$F$9</f>
        <v>Μαρία Παπαδοπούλου</v>
      </c>
      <c r="I9" s="8"/>
    </row>
    <row r="10" spans="2:17" x14ac:dyDescent="0.25">
      <c r="B10" s="7"/>
      <c r="C10" s="25" t="s">
        <v>3</v>
      </c>
      <c r="D10" s="16" t="s">
        <v>48</v>
      </c>
      <c r="E10" s="22" t="s">
        <v>7</v>
      </c>
      <c r="F10" s="19">
        <v>45</v>
      </c>
      <c r="I10" s="8"/>
    </row>
    <row r="11" spans="2:17" x14ac:dyDescent="0.25">
      <c r="B11" s="7"/>
      <c r="C11" s="25" t="s">
        <v>4</v>
      </c>
      <c r="D11" s="16" t="s">
        <v>72</v>
      </c>
      <c r="E11" s="22" t="s">
        <v>8</v>
      </c>
      <c r="F11" s="19" t="s">
        <v>73</v>
      </c>
      <c r="I11" s="8"/>
    </row>
    <row r="12" spans="2:17" x14ac:dyDescent="0.25">
      <c r="B12" s="7"/>
      <c r="C12" s="26" t="s">
        <v>5</v>
      </c>
      <c r="D12" s="17" t="s">
        <v>28</v>
      </c>
      <c r="E12" s="23" t="s">
        <v>1</v>
      </c>
      <c r="F12" s="20" t="s">
        <v>74</v>
      </c>
      <c r="I12" s="8"/>
    </row>
    <row r="13" spans="2:17" x14ac:dyDescent="0.25">
      <c r="B13" s="7"/>
      <c r="I13" s="8"/>
    </row>
    <row r="14" spans="2:17" ht="26.4" customHeight="1" x14ac:dyDescent="0.25">
      <c r="B14" s="7"/>
      <c r="C14" s="13" t="s">
        <v>9</v>
      </c>
      <c r="D14" s="13" t="s">
        <v>11</v>
      </c>
      <c r="E14" s="13" t="s">
        <v>12</v>
      </c>
      <c r="F14" s="13" t="s">
        <v>13</v>
      </c>
      <c r="G14" s="13" t="s">
        <v>93</v>
      </c>
      <c r="H14" s="13" t="s">
        <v>94</v>
      </c>
      <c r="I14" s="8"/>
      <c r="J14" s="6"/>
      <c r="K14" s="2"/>
    </row>
    <row r="15" spans="2:17" x14ac:dyDescent="0.25">
      <c r="B15" s="7"/>
      <c r="C15" s="29">
        <v>103</v>
      </c>
      <c r="D15" s="32">
        <v>90</v>
      </c>
      <c r="E15" s="32">
        <v>10</v>
      </c>
      <c r="F15" s="32">
        <v>900</v>
      </c>
      <c r="G15" s="32">
        <v>20</v>
      </c>
      <c r="H15" s="32">
        <v>15</v>
      </c>
      <c r="I15" s="8"/>
    </row>
    <row r="16" spans="2:17" x14ac:dyDescent="0.25">
      <c r="B16" s="7"/>
      <c r="C16" s="30"/>
      <c r="D16" s="33"/>
      <c r="E16" s="33"/>
      <c r="F16" s="33"/>
      <c r="G16" s="33"/>
      <c r="H16" s="33"/>
      <c r="I16" s="8"/>
    </row>
    <row r="17" spans="2:9" x14ac:dyDescent="0.25">
      <c r="B17" s="7"/>
      <c r="C17" s="30"/>
      <c r="D17" s="33"/>
      <c r="E17" s="33"/>
      <c r="F17" s="33"/>
      <c r="G17" s="33"/>
      <c r="H17" s="33"/>
      <c r="I17" s="8"/>
    </row>
    <row r="18" spans="2:9" x14ac:dyDescent="0.25">
      <c r="B18" s="7"/>
      <c r="C18" s="30"/>
      <c r="D18" s="33"/>
      <c r="E18" s="33"/>
      <c r="F18" s="33"/>
      <c r="G18" s="33"/>
      <c r="H18" s="33"/>
      <c r="I18" s="8"/>
    </row>
    <row r="19" spans="2:9" x14ac:dyDescent="0.25">
      <c r="B19" s="7"/>
      <c r="C19" s="30"/>
      <c r="D19" s="33"/>
      <c r="E19" s="33"/>
      <c r="F19" s="33"/>
      <c r="G19" s="33"/>
      <c r="H19" s="33"/>
      <c r="I19" s="8"/>
    </row>
    <row r="20" spans="2:9" x14ac:dyDescent="0.25">
      <c r="B20" s="7"/>
      <c r="C20" s="30"/>
      <c r="D20" s="33"/>
      <c r="E20" s="33"/>
      <c r="F20" s="33"/>
      <c r="G20" s="33"/>
      <c r="H20" s="33"/>
      <c r="I20" s="8"/>
    </row>
    <row r="21" spans="2:9" x14ac:dyDescent="0.25">
      <c r="B21" s="7"/>
      <c r="C21" s="30"/>
      <c r="D21" s="33"/>
      <c r="E21" s="33"/>
      <c r="F21" s="33"/>
      <c r="G21" s="33"/>
      <c r="H21" s="33"/>
      <c r="I21" s="8"/>
    </row>
    <row r="22" spans="2:9" x14ac:dyDescent="0.25">
      <c r="B22" s="7"/>
      <c r="C22" s="30"/>
      <c r="D22" s="33"/>
      <c r="E22" s="33"/>
      <c r="F22" s="33"/>
      <c r="G22" s="33"/>
      <c r="H22" s="33"/>
      <c r="I22" s="8"/>
    </row>
    <row r="23" spans="2:9" x14ac:dyDescent="0.25">
      <c r="B23" s="7"/>
      <c r="C23" s="31"/>
      <c r="D23" s="34"/>
      <c r="E23" s="34"/>
      <c r="F23" s="34"/>
      <c r="G23" s="34"/>
      <c r="H23" s="34"/>
      <c r="I23" s="8"/>
    </row>
    <row r="24" spans="2:9" x14ac:dyDescent="0.25">
      <c r="B24" s="7"/>
      <c r="C24" s="40"/>
      <c r="D24" s="40"/>
      <c r="E24" s="40"/>
      <c r="F24" s="40"/>
      <c r="G24" s="40"/>
      <c r="H24" s="40"/>
      <c r="I24" s="8"/>
    </row>
    <row r="25" spans="2:9" x14ac:dyDescent="0.25">
      <c r="B25" s="7"/>
      <c r="C25" s="41" t="s">
        <v>15</v>
      </c>
      <c r="D25" s="41"/>
      <c r="E25" s="41"/>
      <c r="F25" s="42">
        <f>SUM(F15:F23)</f>
        <v>900</v>
      </c>
      <c r="G25" s="42">
        <f t="shared" ref="G25:H25" si="0">SUM(G15:G23)</f>
        <v>20</v>
      </c>
      <c r="H25" s="42">
        <f t="shared" si="0"/>
        <v>15</v>
      </c>
      <c r="I25" s="8"/>
    </row>
    <row r="26" spans="2:9" ht="13.8" thickBot="1" x14ac:dyDescent="0.3">
      <c r="B26" s="7"/>
      <c r="I26" s="8"/>
    </row>
    <row r="27" spans="2:9" ht="13.8" thickBot="1" x14ac:dyDescent="0.3">
      <c r="B27" s="7"/>
      <c r="C27" s="35" t="s">
        <v>95</v>
      </c>
      <c r="D27" s="36"/>
      <c r="E27" s="36"/>
      <c r="F27" s="38"/>
      <c r="G27" s="38"/>
      <c r="H27" s="39">
        <f>SUM($D$25:$H$25)</f>
        <v>935</v>
      </c>
      <c r="I27" s="8"/>
    </row>
    <row r="28" spans="2:9" x14ac:dyDescent="0.25">
      <c r="B28" s="9"/>
      <c r="C28" s="10"/>
      <c r="D28" s="10"/>
      <c r="E28" s="10"/>
      <c r="F28" s="10"/>
      <c r="G28" s="10"/>
      <c r="H28" s="10"/>
      <c r="I28" s="11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E4DB8A-9467-4BCF-AFBB-476D4EBBE10F}">
          <x14:formula1>
            <xm:f>'customerbilldetails'!$C$2:$C$11</xm:f>
          </x14:formula1>
          <xm:sqref>D9</xm:sqref>
        </x14:dataValidation>
        <x14:dataValidation type="list" allowBlank="1" showInputMessage="1" showErrorMessage="1" xr:uid="{ADCE75B7-88C2-4D3E-B0FE-1694A2A86277}">
          <x14:formula1>
            <xm:f>'customerbilldetails'!$D$2:$D$11</xm:f>
          </x14:formula1>
          <xm:sqref>F9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AC40F4-486C-4C2F-B2E6-D8C1739476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2</vt:i4>
      </vt:variant>
    </vt:vector>
  </HeadingPairs>
  <TitlesOfParts>
    <vt:vector size="2" baseType="lpstr">
      <vt:lpstr>customerbilldetails</vt:lpstr>
      <vt:lpstr>Τιμολόγιο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CHRYSOULA DERTILI</dc:creator>
  <cp:lastModifiedBy>CHRYSOULA DERTILI</cp:lastModifiedBy>
  <dcterms:created xsi:type="dcterms:W3CDTF">2024-03-27T10:05:49Z</dcterms:created>
  <dcterms:modified xsi:type="dcterms:W3CDTF">2024-04-12T16:40:08Z</dcterms:modified>
</cp:coreProperties>
</file>